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💳 الحاسبة" sheetId="1" state="visible" r:id="rId1"/>
    <sheet xmlns:r="http://schemas.openxmlformats.org/officeDocument/2006/relationships" name="📊 توزيع الأرباح" sheetId="2" state="visible" r:id="rId2"/>
    <sheet xmlns:r="http://schemas.openxmlformats.org/officeDocument/2006/relationships" name="🔮 ماذا ل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ر.س"/>
  </numFmts>
  <fonts count="23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b val="1"/>
      <color rgb="00F59E0B"/>
      <sz val="14"/>
    </font>
    <font>
      <name val="Cairo"/>
      <b val="1"/>
      <color rgb="00FFFFFF"/>
      <sz val="20"/>
    </font>
    <font>
      <name val="Cairo"/>
      <b val="1"/>
      <color rgb="001F2937"/>
      <sz val="12"/>
    </font>
    <font>
      <name val="Cairo"/>
      <b val="1"/>
      <color rgb="007C3AED"/>
      <sz val="11"/>
    </font>
    <font>
      <name val="Cairo"/>
      <color rgb="001F2937"/>
      <sz val="11"/>
    </font>
    <font>
      <name val="Cairo"/>
      <b val="1"/>
      <color rgb="00DC2626"/>
      <sz val="11"/>
    </font>
    <font>
      <name val="Cairo"/>
      <b val="1"/>
      <color rgb="0010B981"/>
      <sz val="12"/>
    </font>
    <font>
      <name val="Cairo"/>
      <b val="1"/>
      <color rgb="00FFFFFF"/>
      <sz val="12"/>
    </font>
    <font>
      <name val="Cairo"/>
      <color rgb="007C3AED"/>
      <sz val="10"/>
    </font>
    <font>
      <name val="Cairo"/>
      <b val="1"/>
      <color rgb="003B82F6"/>
      <sz val="12"/>
    </font>
    <font>
      <name val="Cairo"/>
      <b val="1"/>
      <color rgb="001F2937"/>
      <sz val="10"/>
    </font>
    <font>
      <name val="Cairo"/>
      <b val="1"/>
      <color rgb="001F2937"/>
      <sz val="11"/>
    </font>
    <font>
      <name val="Cairo"/>
      <color rgb="00DC2626"/>
      <sz val="11"/>
    </font>
    <font>
      <name val="Cairo"/>
      <b val="1"/>
      <color rgb="003B82F6"/>
      <sz val="13"/>
    </font>
    <font>
      <name val="Cairo"/>
      <b val="1"/>
      <color rgb="00F59E0B"/>
      <sz val="12"/>
    </font>
    <font>
      <name val="Cairo"/>
      <color rgb="007C3AED"/>
      <sz val="9"/>
    </font>
    <font>
      <name val="Cairo"/>
      <b val="1"/>
      <color rgb="003B82F6"/>
      <sz val="16"/>
    </font>
    <font>
      <name val="Cairo"/>
      <b val="1"/>
      <color rgb="0010B981"/>
      <sz val="13"/>
    </font>
    <font>
      <name val="Cairo"/>
      <b val="1"/>
      <color rgb="000D9488"/>
      <sz val="13"/>
    </font>
    <font>
      <name val="Cairo"/>
      <b val="1"/>
      <color rgb="0010B981"/>
      <sz val="11"/>
    </font>
    <font>
      <name val="Cairo"/>
      <b val="1"/>
      <color rgb="000D9488"/>
      <sz val="11"/>
    </font>
  </fonts>
  <fills count="10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3F0FF"/>
      </patternFill>
    </fill>
    <fill>
      <patternFill patternType="solid">
        <fgColor rgb="00DC2626"/>
      </patternFill>
    </fill>
    <fill>
      <patternFill patternType="solid">
        <fgColor rgb="0010B981"/>
      </patternFill>
    </fill>
    <fill>
      <patternFill patternType="solid">
        <fgColor rgb="000D9488"/>
      </patternFill>
    </fill>
  </fills>
  <borders count="10">
    <border>
      <left/>
      <right/>
      <top/>
      <bottom/>
      <diagonal/>
    </border>
    <border>
      <left style="medium">
        <color rgb="007C3AED"/>
      </left>
      <right style="medium">
        <color rgb="007C3AED"/>
      </right>
      <top style="medium">
        <color rgb="007C3AED"/>
      </top>
      <bottom style="medium">
        <color rgb="007C3AE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  <border>
      <left style="medium">
        <color rgb="000D9488"/>
      </left>
      <right style="medium">
        <color rgb="000D9488"/>
      </right>
      <top style="medium">
        <color rgb="000D9488"/>
      </top>
      <bottom style="medium">
        <color rgb="000D9488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4" fontId="6" fillId="5" borderId="2" applyAlignment="1" pivotButton="0" quotePrefix="0" xfId="0">
      <alignment horizontal="center" vertical="center"/>
    </xf>
    <xf numFmtId="4" fontId="7" fillId="5" borderId="2" applyAlignment="1" pivotButton="0" quotePrefix="0" xfId="0">
      <alignment horizontal="center" vertical="center"/>
    </xf>
    <xf numFmtId="4" fontId="8" fillId="5" borderId="3" applyAlignment="1" pivotButton="0" quotePrefix="0" xfId="0">
      <alignment horizontal="center" vertical="center"/>
    </xf>
    <xf numFmtId="4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4" fontId="6" fillId="6" borderId="2" applyAlignment="1" pivotButton="0" quotePrefix="0" xfId="0">
      <alignment horizontal="center" vertical="center"/>
    </xf>
    <xf numFmtId="4" fontId="7" fillId="6" borderId="2" applyAlignment="1" pivotButton="0" quotePrefix="0" xfId="0">
      <alignment horizontal="center" vertical="center"/>
    </xf>
    <xf numFmtId="4" fontId="8" fillId="6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4" fontId="9" fillId="7" borderId="0" applyAlignment="1" pivotButton="0" quotePrefix="0" xfId="0">
      <alignment horizontal="center" vertical="center"/>
    </xf>
    <xf numFmtId="4" fontId="9" fillId="8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right" vertical="center"/>
    </xf>
    <xf numFmtId="9" fontId="11" fillId="6" borderId="4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9" fontId="11" fillId="5" borderId="4" applyAlignment="1" pivotButton="0" quotePrefix="0" xfId="0">
      <alignment horizontal="center" vertical="center"/>
    </xf>
    <xf numFmtId="164" fontId="8" fillId="5" borderId="3" applyAlignment="1" pivotButton="0" quotePrefix="0" xfId="0">
      <alignment horizontal="center" vertical="center"/>
    </xf>
    <xf numFmtId="9" fontId="9" fillId="4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4" fontId="11" fillId="5" borderId="5" applyAlignment="1" pivotButton="0" quotePrefix="0" xfId="0">
      <alignment horizontal="center" vertical="center"/>
    </xf>
    <xf numFmtId="49" fontId="11" fillId="5" borderId="5" applyAlignment="1" pivotButton="0" quotePrefix="0" xfId="0">
      <alignment horizontal="center" vertical="center"/>
    </xf>
    <xf numFmtId="10" fontId="11" fillId="5" borderId="5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14" fillId="6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4" fontId="15" fillId="5" borderId="5" applyAlignment="1" pivotButton="0" quotePrefix="0" xfId="0">
      <alignment horizontal="center" vertical="center"/>
    </xf>
    <xf numFmtId="10" fontId="16" fillId="5" borderId="6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164" fontId="18" fillId="5" borderId="5" applyAlignment="1" pivotButton="0" quotePrefix="0" xfId="0">
      <alignment horizontal="center" vertical="center"/>
    </xf>
    <xf numFmtId="0" fontId="1" fillId="2" borderId="2" applyAlignment="1" pivotButton="0" quotePrefix="0" xfId="0">
      <alignment horizontal="right" vertical="center"/>
    </xf>
    <xf numFmtId="164" fontId="19" fillId="5" borderId="7" applyAlignment="1" pivotButton="0" quotePrefix="0" xfId="0">
      <alignment horizontal="center" vertical="center"/>
    </xf>
    <xf numFmtId="164" fontId="20" fillId="5" borderId="8" applyAlignment="1" pivotButton="0" quotePrefix="0" xfId="0">
      <alignment horizontal="center" vertical="center"/>
    </xf>
    <xf numFmtId="164" fontId="21" fillId="6" borderId="3" applyAlignment="1" pivotButton="0" quotePrefix="0" xfId="0">
      <alignment horizontal="center" vertical="center"/>
    </xf>
    <xf numFmtId="164" fontId="22" fillId="6" borderId="9" applyAlignment="1" pivotButton="0" quotePrefix="0" xfId="0">
      <alignment horizontal="center" vertical="center"/>
    </xf>
    <xf numFmtId="164" fontId="21" fillId="5" borderId="3" applyAlignment="1" pivotButton="0" quotePrefix="0" xfId="0">
      <alignment horizontal="center" vertical="center"/>
    </xf>
    <xf numFmtId="164" fontId="22" fillId="5" borderId="9" applyAlignment="1" pivotButton="0" quotePrefix="0" xfId="0">
      <alignment horizontal="center" vertical="center"/>
    </xf>
    <xf numFmtId="164" fontId="9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20" customWidth="1" min="4" max="4"/>
    <col width="20" customWidth="1" min="5" max="5"/>
    <col width="20" customWidth="1" min="6" max="6"/>
    <col width="22" customWidth="1" min="7" max="7"/>
    <col width="3" customWidth="1" min="8" max="8"/>
  </cols>
  <sheetData>
    <row r="1" ht="38" customHeight="1">
      <c r="B1" s="1" t="inlineStr">
        <is>
          <t>عمولة الشركة (ستريم)</t>
        </is>
      </c>
      <c r="C1" s="2" t="n">
        <v>0.008</v>
      </c>
    </row>
    <row r="2" ht="52" customHeight="1">
      <c r="B2" s="3" t="inlineStr">
        <is>
          <t>💳   حاسبة رسوم منصة ستريم</t>
        </is>
      </c>
    </row>
    <row r="3" ht="8" customHeight="1"/>
    <row r="4" ht="38" customHeight="1">
      <c r="B4" s="4" t="inlineStr">
        <is>
          <t>المبلغ (ر.س)</t>
        </is>
      </c>
      <c r="C4" s="4" t="inlineStr">
        <is>
          <t>طريقة الدفع</t>
        </is>
      </c>
      <c r="D4" s="4" t="inlineStr">
        <is>
          <t>رسوم البوابة</t>
        </is>
      </c>
      <c r="E4" s="4" t="inlineStr">
        <is>
          <t>عمولة ستريم</t>
        </is>
      </c>
      <c r="F4" s="4" t="inlineStr">
        <is>
          <t>إجمالي الرسوم</t>
        </is>
      </c>
      <c r="G4" s="4" t="inlineStr">
        <is>
          <t>الصافي (ر.س)</t>
        </is>
      </c>
    </row>
    <row r="5" ht="34" customHeight="1">
      <c r="B5" s="5" t="n">
        <v>19</v>
      </c>
      <c r="C5" s="6" t="inlineStr">
        <is>
          <t>mada</t>
        </is>
      </c>
      <c r="D5" s="7">
        <f>IF(C5="mada",B5*0.01+1,IF(C5="visa",B5*0.025+1,0))</f>
        <v/>
      </c>
      <c r="E5" s="7">
        <f>B5*$C$1</f>
        <v/>
      </c>
      <c r="F5" s="8">
        <f>D5+E5</f>
        <v/>
      </c>
      <c r="G5" s="9">
        <f>B5-F5</f>
        <v/>
      </c>
    </row>
    <row r="6" ht="34" customHeight="1">
      <c r="B6" s="10" t="n">
        <v>30</v>
      </c>
      <c r="C6" s="11" t="inlineStr">
        <is>
          <t>visa</t>
        </is>
      </c>
      <c r="D6" s="12">
        <f>IF(C6="mada",B6*0.01+1,IF(C6="visa",B6*0.025+1,0))</f>
        <v/>
      </c>
      <c r="E6" s="12">
        <f>B6*$C$1</f>
        <v/>
      </c>
      <c r="F6" s="13">
        <f>D6+E6</f>
        <v/>
      </c>
      <c r="G6" s="14">
        <f>B6-F6</f>
        <v/>
      </c>
    </row>
    <row r="7" ht="36" customHeight="1">
      <c r="B7" s="15" t="inlineStr">
        <is>
          <t>الإجمالي</t>
        </is>
      </c>
      <c r="F7" s="16">
        <f>SUM(F5:F6)</f>
        <v/>
      </c>
      <c r="G7" s="17">
        <f>SUM(G5:G6)</f>
        <v/>
      </c>
    </row>
  </sheetData>
  <mergeCells count="2">
    <mergeCell ref="B2:G2"/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20" customWidth="1" min="4" max="4"/>
    <col width="20" customWidth="1" min="5" max="5"/>
    <col width="3" customWidth="1" min="6" max="6"/>
  </cols>
  <sheetData>
    <row r="1" ht="52" customHeight="1">
      <c r="B1" s="3" t="inlineStr">
        <is>
          <t>📊   توزيع الأرباح على الأطراف</t>
        </is>
      </c>
    </row>
    <row r="2" ht="8" customHeight="1"/>
    <row r="3" ht="34" customHeight="1">
      <c r="B3" s="42" t="inlineStr">
        <is>
          <t>صافي مدى (ر.س)</t>
        </is>
      </c>
      <c r="C3" s="43">
        <f>'💳 الحاسبة'!G5</f>
        <v/>
      </c>
    </row>
    <row r="4" ht="34" customHeight="1">
      <c r="B4" s="42" t="inlineStr">
        <is>
          <t>صافي فيزا (ر.س)</t>
        </is>
      </c>
      <c r="C4" s="44">
        <f>'💳 الحاسبة'!G6</f>
        <v/>
      </c>
    </row>
    <row r="5" ht="8" customHeight="1"/>
    <row r="6" ht="28" customHeight="1">
      <c r="B6" s="18" t="inlineStr">
        <is>
          <t>✏️  أضف اسم الطرف ونسبته — المجموع يجب أن يساوي 100%</t>
        </is>
      </c>
    </row>
    <row r="7" ht="38" customHeight="1">
      <c r="B7" s="4" t="inlineStr">
        <is>
          <t>اسم الطرف</t>
        </is>
      </c>
      <c r="C7" s="4" t="inlineStr">
        <is>
          <t>النسبة %</t>
        </is>
      </c>
      <c r="D7" s="4" t="inlineStr">
        <is>
          <t>نصيبه من مدى</t>
        </is>
      </c>
      <c r="E7" s="4" t="inlineStr">
        <is>
          <t>نصيبه من فيزا</t>
        </is>
      </c>
    </row>
    <row r="8" ht="32" customHeight="1">
      <c r="B8" s="19" t="inlineStr"/>
      <c r="C8" s="20" t="n">
        <v>0</v>
      </c>
      <c r="D8" s="45">
        <f>$C$3*C8</f>
        <v/>
      </c>
      <c r="E8" s="46">
        <f>$C$4*C8</f>
        <v/>
      </c>
    </row>
    <row r="9" ht="32" customHeight="1">
      <c r="B9" s="22" t="inlineStr"/>
      <c r="C9" s="23" t="n">
        <v>0</v>
      </c>
      <c r="D9" s="47">
        <f>$C$3*C9</f>
        <v/>
      </c>
      <c r="E9" s="48">
        <f>$C$4*C9</f>
        <v/>
      </c>
    </row>
    <row r="10" ht="32" customHeight="1">
      <c r="B10" s="19" t="inlineStr"/>
      <c r="C10" s="20" t="n">
        <v>0</v>
      </c>
      <c r="D10" s="45">
        <f>$C$3*C10</f>
        <v/>
      </c>
      <c r="E10" s="46">
        <f>$C$4*C10</f>
        <v/>
      </c>
    </row>
    <row r="11" ht="32" customHeight="1">
      <c r="B11" s="22" t="inlineStr"/>
      <c r="C11" s="23" t="n">
        <v>0</v>
      </c>
      <c r="D11" s="47">
        <f>$C$3*C11</f>
        <v/>
      </c>
      <c r="E11" s="48">
        <f>$C$4*C11</f>
        <v/>
      </c>
    </row>
    <row r="12" ht="32" customHeight="1">
      <c r="B12" s="19" t="inlineStr"/>
      <c r="C12" s="20" t="n">
        <v>0</v>
      </c>
      <c r="D12" s="45">
        <f>$C$3*C12</f>
        <v/>
      </c>
      <c r="E12" s="46">
        <f>$C$4*C12</f>
        <v/>
      </c>
    </row>
    <row r="13" ht="32" customHeight="1">
      <c r="B13" s="22" t="inlineStr"/>
      <c r="C13" s="23" t="n">
        <v>0</v>
      </c>
      <c r="D13" s="47">
        <f>$C$3*C13</f>
        <v/>
      </c>
      <c r="E13" s="48">
        <f>$C$4*C13</f>
        <v/>
      </c>
    </row>
    <row r="14" ht="32" customHeight="1">
      <c r="B14" s="19" t="inlineStr"/>
      <c r="C14" s="20" t="n">
        <v>0</v>
      </c>
      <c r="D14" s="45">
        <f>$C$3*C14</f>
        <v/>
      </c>
      <c r="E14" s="46">
        <f>$C$4*C14</f>
        <v/>
      </c>
    </row>
    <row r="15" ht="32" customHeight="1">
      <c r="B15" s="22" t="inlineStr"/>
      <c r="C15" s="23" t="n">
        <v>0</v>
      </c>
      <c r="D15" s="47">
        <f>$C$3*C15</f>
        <v/>
      </c>
      <c r="E15" s="48">
        <f>$C$4*C15</f>
        <v/>
      </c>
    </row>
    <row r="16" ht="32" customHeight="1">
      <c r="B16" s="19" t="inlineStr"/>
      <c r="C16" s="20" t="n">
        <v>0</v>
      </c>
      <c r="D16" s="45">
        <f>$C$3*C16</f>
        <v/>
      </c>
      <c r="E16" s="46">
        <f>$C$4*C16</f>
        <v/>
      </c>
    </row>
    <row r="17" ht="32" customHeight="1">
      <c r="B17" s="22" t="inlineStr"/>
      <c r="C17" s="23" t="n">
        <v>0</v>
      </c>
      <c r="D17" s="47">
        <f>$C$3*C17</f>
        <v/>
      </c>
      <c r="E17" s="48">
        <f>$C$4*C17</f>
        <v/>
      </c>
    </row>
    <row r="18" ht="36" customHeight="1">
      <c r="B18" s="15" t="inlineStr">
        <is>
          <t>المجموع</t>
        </is>
      </c>
      <c r="C18" s="25">
        <f>SUM(C8:C17)</f>
        <v/>
      </c>
      <c r="D18" s="26">
        <f>SUM(D8:D17)</f>
        <v/>
      </c>
      <c r="E18" s="49">
        <f>SUM(E8:E17)</f>
        <v/>
      </c>
    </row>
    <row r="19" ht="30" customHeight="1">
      <c r="B19" s="27">
        <f>IF(C18=1,"✅ المجموع صحيح 100%","⚠️ تحقق! المجموع "&amp;TEXT(C18,"0%")&amp;" وليس 100%")</f>
        <v/>
      </c>
    </row>
  </sheetData>
  <mergeCells count="3">
    <mergeCell ref="B1:E1"/>
    <mergeCell ref="B6:E6"/>
    <mergeCell ref="B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7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" customWidth="1" min="8" max="8"/>
  </cols>
  <sheetData>
    <row r="1" ht="52" customHeight="1">
      <c r="B1" s="3" t="inlineStr">
        <is>
          <t>🔮   ماذا لو بعنا X وحدة؟</t>
        </is>
      </c>
    </row>
    <row r="2" ht="8" customHeight="1"/>
    <row r="3" ht="34" customHeight="1">
      <c r="B3" s="15" t="inlineStr">
        <is>
          <t>⚙️  المدخلات — غيّر هنا فقط</t>
        </is>
      </c>
    </row>
    <row r="4" ht="32" customHeight="1">
      <c r="B4" s="19" t="inlineStr">
        <is>
          <t>سعر المنتج (ر.س)</t>
        </is>
      </c>
      <c r="C4" s="37" t="n">
        <v>99</v>
      </c>
    </row>
    <row r="5" ht="32" customHeight="1">
      <c r="B5" s="19" t="inlineStr">
        <is>
          <t>عمولة ستريم</t>
        </is>
      </c>
      <c r="C5" s="38">
        <f>'💳 الحاسبة'!C1</f>
        <v/>
      </c>
    </row>
    <row r="6" ht="10" customHeight="1"/>
    <row r="7" ht="38" customHeight="1">
      <c r="B7" s="4" t="inlineStr">
        <is>
          <t>عدد المبيعات</t>
        </is>
      </c>
      <c r="C7" s="4" t="inlineStr">
        <is>
          <t>إجمالي المبيعات</t>
        </is>
      </c>
      <c r="D7" s="4" t="inlineStr">
        <is>
          <t>رسوم مدى</t>
        </is>
      </c>
      <c r="E7" s="4" t="inlineStr">
        <is>
          <t>صافي مدى</t>
        </is>
      </c>
      <c r="F7" s="4" t="inlineStr">
        <is>
          <t>رسوم فيزا</t>
        </is>
      </c>
      <c r="G7" s="4" t="inlineStr">
        <is>
          <t>صافي فيزا</t>
        </is>
      </c>
    </row>
    <row r="8" ht="26" customHeight="1">
      <c r="B8" s="39" t="inlineStr">
        <is>
          <t>مدى: 1% + 1 ر.س/عملية   |   فيزا: 2.5% + 1 ر.س/عملية   |   عمولة ستريم مطبقة على الاثنين</t>
        </is>
      </c>
    </row>
    <row r="9" ht="32" customHeight="1">
      <c r="B9" s="31" t="n">
        <v>1</v>
      </c>
      <c r="C9" s="32">
        <f>B9*$C$4</f>
        <v/>
      </c>
      <c r="D9" s="33">
        <f>C9*0.01+B9+C9*$C$5</f>
        <v/>
      </c>
      <c r="E9" s="21">
        <f>C9-D9</f>
        <v/>
      </c>
      <c r="F9" s="33">
        <f>C9*0.025+B9+C9*$C$5</f>
        <v/>
      </c>
      <c r="G9" s="21">
        <f>C9-F9</f>
        <v/>
      </c>
    </row>
    <row r="10" ht="32" customHeight="1">
      <c r="B10" s="34" t="n">
        <v>5</v>
      </c>
      <c r="C10" s="35">
        <f>B10*$C$4</f>
        <v/>
      </c>
      <c r="D10" s="36">
        <f>C10*0.01+B10+C10*$C$5</f>
        <v/>
      </c>
      <c r="E10" s="24">
        <f>C10-D10</f>
        <v/>
      </c>
      <c r="F10" s="36">
        <f>C10*0.025+B10+C10*$C$5</f>
        <v/>
      </c>
      <c r="G10" s="24">
        <f>C10-F10</f>
        <v/>
      </c>
    </row>
    <row r="11" ht="32" customHeight="1">
      <c r="B11" s="31" t="n">
        <v>10</v>
      </c>
      <c r="C11" s="32">
        <f>B11*$C$4</f>
        <v/>
      </c>
      <c r="D11" s="33">
        <f>C11*0.01+B11+C11*$C$5</f>
        <v/>
      </c>
      <c r="E11" s="21">
        <f>C11-D11</f>
        <v/>
      </c>
      <c r="F11" s="33">
        <f>C11*0.025+B11+C11*$C$5</f>
        <v/>
      </c>
      <c r="G11" s="21">
        <f>C11-F11</f>
        <v/>
      </c>
    </row>
    <row r="12" ht="32" customHeight="1">
      <c r="B12" s="34" t="n">
        <v>25</v>
      </c>
      <c r="C12" s="35">
        <f>B12*$C$4</f>
        <v/>
      </c>
      <c r="D12" s="36">
        <f>C12*0.01+B12+C12*$C$5</f>
        <v/>
      </c>
      <c r="E12" s="24">
        <f>C12-D12</f>
        <v/>
      </c>
      <c r="F12" s="36">
        <f>C12*0.025+B12+C12*$C$5</f>
        <v/>
      </c>
      <c r="G12" s="24">
        <f>C12-F12</f>
        <v/>
      </c>
    </row>
    <row r="13" ht="32" customHeight="1">
      <c r="B13" s="31" t="n">
        <v>50</v>
      </c>
      <c r="C13" s="32">
        <f>B13*$C$4</f>
        <v/>
      </c>
      <c r="D13" s="33">
        <f>C13*0.01+B13+C13*$C$5</f>
        <v/>
      </c>
      <c r="E13" s="21">
        <f>C13-D13</f>
        <v/>
      </c>
      <c r="F13" s="33">
        <f>C13*0.025+B13+C13*$C$5</f>
        <v/>
      </c>
      <c r="G13" s="21">
        <f>C13-F13</f>
        <v/>
      </c>
    </row>
    <row r="14" ht="32" customHeight="1">
      <c r="B14" s="34" t="n">
        <v>100</v>
      </c>
      <c r="C14" s="35">
        <f>B14*$C$4</f>
        <v/>
      </c>
      <c r="D14" s="36">
        <f>C14*0.01+B14+C14*$C$5</f>
        <v/>
      </c>
      <c r="E14" s="24">
        <f>C14-D14</f>
        <v/>
      </c>
      <c r="F14" s="36">
        <f>C14*0.025+B14+C14*$C$5</f>
        <v/>
      </c>
      <c r="G14" s="24">
        <f>C14-F14</f>
        <v/>
      </c>
    </row>
    <row r="15" ht="32" customHeight="1">
      <c r="B15" s="31" t="n">
        <v>250</v>
      </c>
      <c r="C15" s="32">
        <f>B15*$C$4</f>
        <v/>
      </c>
      <c r="D15" s="33">
        <f>C15*0.01+B15+C15*$C$5</f>
        <v/>
      </c>
      <c r="E15" s="21">
        <f>C15-D15</f>
        <v/>
      </c>
      <c r="F15" s="33">
        <f>C15*0.025+B15+C15*$C$5</f>
        <v/>
      </c>
      <c r="G15" s="21">
        <f>C15-F15</f>
        <v/>
      </c>
    </row>
    <row r="16" ht="32" customHeight="1">
      <c r="B16" s="34" t="n">
        <v>500</v>
      </c>
      <c r="C16" s="35">
        <f>B16*$C$4</f>
        <v/>
      </c>
      <c r="D16" s="36">
        <f>C16*0.01+B16+C16*$C$5</f>
        <v/>
      </c>
      <c r="E16" s="24">
        <f>C16-D16</f>
        <v/>
      </c>
      <c r="F16" s="36">
        <f>C16*0.025+B16+C16*$C$5</f>
        <v/>
      </c>
      <c r="G16" s="24">
        <f>C16-F16</f>
        <v/>
      </c>
    </row>
    <row r="17" ht="32" customHeight="1">
      <c r="B17" s="31" t="n">
        <v>1000</v>
      </c>
      <c r="C17" s="32">
        <f>B17*$C$4</f>
        <v/>
      </c>
      <c r="D17" s="33">
        <f>C17*0.01+B17+C17*$C$5</f>
        <v/>
      </c>
      <c r="E17" s="21">
        <f>C17-D17</f>
        <v/>
      </c>
      <c r="F17" s="33">
        <f>C17*0.025+B17+C17*$C$5</f>
        <v/>
      </c>
      <c r="G17" s="21">
        <f>C17-F17</f>
        <v/>
      </c>
    </row>
  </sheetData>
  <mergeCells count="3">
    <mergeCell ref="B3:G3"/>
    <mergeCell ref="B8:G8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2026-04-25T21:54:03Z</dcterms:created>
  <dcterms:modified xmlns:dcterms="http://purl.org/dc/terms/" xmlns:xsi="http://www.w3.org/2001/XMLSchema-instance" xsi:type="dcterms:W3CDTF">2026-04-25T22:06:08Z</dcterms:modified>
</cp:coreProperties>
</file>